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<sst xmlns="http://schemas.openxmlformats.org/spreadsheetml/2006/main" count="8" uniqueCount="8">
  <si>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Direction (Degrees)</t>
  </si>
  <si>
    <t>Resistance in Wind Vane (kOhm)</t>
  </si>
  <si>
    <t>Voltage for 3.3V Input (V)</t>
  </si>
  <si>
    <t>Voltage for 5V Input (V)</t>
  </si>
  <si>
    <t>Theoretical Voltage Divider Voltage (V)</t>
  </si>
  <si>
    <t>Low Bound (V)</t>
  </si>
  <si>
    <t>High Bound (V)</t>
  </si>
  <si>
    <t>Range 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</si>
</sst>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4.88"/>
    <col customWidth="1" min="3" max="3" width="19.88"/>
    <col customWidth="1" min="4" max="4" width="18.75"/>
    <col customWidth="1" min="5" max="5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90.0</v>
      </c>
      <c r="B2" s="3">
        <v>1.0</v>
      </c>
      <c r="C2" s="3">
        <v>0.3</v>
      </c>
      <c r="D2" s="4">
        <f t="shared" ref="D2:D9" si="1">C2*5/3.3</f>
        <v>0.4545454545</v>
      </c>
      <c r="E2" s="5">
        <f t="shared" ref="E2:E9" si="2">5*B2/(B2+10)</f>
        <v>0.4545454545</v>
      </c>
      <c r="F2" s="5">
        <v>0.0</v>
      </c>
      <c r="G2" s="4">
        <f t="shared" ref="G2:G8" si="3">F3</f>
        <v>0.6742424242</v>
      </c>
      <c r="H2" s="4">
        <f t="shared" ref="H2:H9" si="4">G2-F2</f>
        <v>0.6742424242</v>
      </c>
    </row>
    <row r="3">
      <c r="A3" s="2">
        <v>135.0</v>
      </c>
      <c r="B3" s="3">
        <v>2.2</v>
      </c>
      <c r="C3" s="3">
        <v>0.59</v>
      </c>
      <c r="D3" s="4">
        <f t="shared" si="1"/>
        <v>0.8939393939</v>
      </c>
      <c r="E3" s="5">
        <f t="shared" si="2"/>
        <v>0.9016393443</v>
      </c>
      <c r="F3" s="6">
        <f t="shared" ref="F3:F9" si="5">D3- 0.5*(D3-D2)</f>
        <v>0.6742424242</v>
      </c>
      <c r="G3" s="4">
        <f t="shared" si="3"/>
        <v>1.143939394</v>
      </c>
      <c r="H3" s="4">
        <f t="shared" si="4"/>
        <v>0.4696969697</v>
      </c>
      <c r="I3" s="2"/>
      <c r="J3" s="7"/>
      <c r="K3" s="2"/>
      <c r="L3" s="7"/>
      <c r="M3" s="7"/>
      <c r="N3" s="2"/>
      <c r="O3" s="2"/>
      <c r="P3" s="7"/>
      <c r="Q3" s="2"/>
      <c r="R3" s="7"/>
      <c r="S3" s="7"/>
      <c r="T3" s="2"/>
      <c r="U3" s="7"/>
      <c r="V3" s="7"/>
      <c r="W3" s="2"/>
      <c r="X3" s="7"/>
      <c r="Y3" s="7"/>
      <c r="Z3" s="2"/>
      <c r="AA3" s="7"/>
      <c r="AB3" s="7"/>
      <c r="AC3" s="2"/>
      <c r="AD3" s="7"/>
      <c r="AE3" s="7"/>
      <c r="AF3" s="2"/>
      <c r="AG3" s="7"/>
      <c r="AH3" s="7"/>
      <c r="AI3" s="2"/>
      <c r="AJ3" s="7"/>
      <c r="AK3" s="7"/>
      <c r="AL3" s="2"/>
      <c r="AM3" s="7"/>
      <c r="AN3" s="7"/>
      <c r="AO3" s="2"/>
      <c r="AP3" s="7"/>
      <c r="AQ3" s="7"/>
      <c r="AR3" s="2"/>
      <c r="AS3" s="7"/>
      <c r="AT3" s="7"/>
    </row>
    <row r="4">
      <c r="A4" s="2">
        <v>180.0</v>
      </c>
      <c r="B4" s="3">
        <v>3.9</v>
      </c>
      <c r="C4" s="3">
        <v>0.92</v>
      </c>
      <c r="D4" s="4">
        <f t="shared" si="1"/>
        <v>1.393939394</v>
      </c>
      <c r="E4" s="5">
        <f t="shared" si="2"/>
        <v>1.402877698</v>
      </c>
      <c r="F4" s="6">
        <f t="shared" si="5"/>
        <v>1.143939394</v>
      </c>
      <c r="G4" s="4">
        <f t="shared" si="3"/>
        <v>1.825757576</v>
      </c>
      <c r="H4" s="4">
        <f t="shared" si="4"/>
        <v>0.6818181818</v>
      </c>
      <c r="I4" s="7"/>
      <c r="J4" s="7"/>
      <c r="K4" s="2"/>
      <c r="L4" s="2"/>
      <c r="M4" s="7"/>
      <c r="N4" s="2"/>
      <c r="O4" s="7"/>
      <c r="P4" s="7"/>
      <c r="Q4" s="2"/>
      <c r="R4" s="7"/>
      <c r="S4" s="7"/>
      <c r="T4" s="2"/>
      <c r="U4" s="7"/>
      <c r="V4" s="7"/>
      <c r="W4" s="2"/>
      <c r="X4" s="7"/>
      <c r="Y4" s="7"/>
      <c r="Z4" s="2"/>
      <c r="AA4" s="7"/>
      <c r="AB4" s="7"/>
      <c r="AC4" s="2"/>
      <c r="AD4" s="7"/>
      <c r="AE4" s="7"/>
      <c r="AF4" s="2"/>
      <c r="AG4" s="7"/>
      <c r="AH4" s="7"/>
      <c r="AI4" s="2"/>
      <c r="AJ4" s="7"/>
      <c r="AK4" s="7"/>
      <c r="AL4" s="2"/>
      <c r="AM4" s="7"/>
      <c r="AN4" s="7"/>
      <c r="AO4" s="2"/>
      <c r="AP4" s="7"/>
      <c r="AQ4" s="7"/>
    </row>
    <row r="5">
      <c r="A5" s="2">
        <v>45.0</v>
      </c>
      <c r="B5" s="3">
        <v>8.2</v>
      </c>
      <c r="C5" s="3">
        <v>1.49</v>
      </c>
      <c r="D5" s="4">
        <f t="shared" si="1"/>
        <v>2.257575758</v>
      </c>
      <c r="E5" s="5">
        <f t="shared" si="2"/>
        <v>2.252747253</v>
      </c>
      <c r="F5" s="6">
        <f t="shared" si="5"/>
        <v>1.825757576</v>
      </c>
      <c r="G5" s="4">
        <f t="shared" si="3"/>
        <v>2.666666667</v>
      </c>
      <c r="H5" s="4">
        <f t="shared" si="4"/>
        <v>0.8409090909</v>
      </c>
      <c r="I5" s="2"/>
      <c r="J5" s="7"/>
      <c r="K5" s="2"/>
      <c r="L5" s="7"/>
      <c r="M5" s="7"/>
      <c r="N5" s="2"/>
      <c r="O5" s="7"/>
      <c r="P5" s="7"/>
      <c r="Q5" s="2"/>
      <c r="R5" s="7"/>
      <c r="S5" s="7"/>
      <c r="T5" s="2"/>
      <c r="U5" s="7"/>
      <c r="V5" s="7"/>
      <c r="W5" s="2"/>
      <c r="X5" s="7"/>
      <c r="Y5" s="7"/>
      <c r="Z5" s="2"/>
      <c r="AA5" s="7"/>
      <c r="AB5" s="7"/>
      <c r="AC5" s="2"/>
      <c r="AD5" s="7"/>
      <c r="AE5" s="7"/>
      <c r="AF5" s="2"/>
      <c r="AG5" s="7"/>
      <c r="AH5" s="7"/>
      <c r="AI5" s="2"/>
      <c r="AJ5" s="7"/>
      <c r="AK5" s="7"/>
      <c r="AL5" s="2"/>
      <c r="AM5" s="7"/>
      <c r="AN5" s="7"/>
    </row>
    <row r="6">
      <c r="A6" s="2">
        <v>225.0</v>
      </c>
      <c r="B6" s="3">
        <v>16.0</v>
      </c>
      <c r="C6" s="3">
        <v>2.03</v>
      </c>
      <c r="D6" s="4">
        <f t="shared" si="1"/>
        <v>3.075757576</v>
      </c>
      <c r="E6" s="5">
        <f t="shared" si="2"/>
        <v>3.076923077</v>
      </c>
      <c r="F6" s="6">
        <f t="shared" si="5"/>
        <v>2.666666667</v>
      </c>
      <c r="G6" s="4">
        <f t="shared" si="3"/>
        <v>3.454545455</v>
      </c>
      <c r="H6" s="4">
        <f t="shared" si="4"/>
        <v>0.7878787879</v>
      </c>
      <c r="I6" s="7"/>
      <c r="J6" s="7"/>
      <c r="K6" s="2"/>
      <c r="L6" s="7"/>
      <c r="M6" s="7"/>
      <c r="N6" s="2"/>
      <c r="O6" s="7"/>
      <c r="P6" s="7"/>
      <c r="Q6" s="2"/>
      <c r="R6" s="7"/>
      <c r="S6" s="7"/>
      <c r="T6" s="2"/>
      <c r="U6" s="7"/>
      <c r="V6" s="7"/>
      <c r="W6" s="2"/>
      <c r="X6" s="7"/>
      <c r="Y6" s="7"/>
      <c r="Z6" s="2"/>
      <c r="AA6" s="7"/>
      <c r="AB6" s="7"/>
      <c r="AC6" s="2"/>
      <c r="AD6" s="7"/>
      <c r="AE6" s="7"/>
      <c r="AF6" s="2"/>
      <c r="AG6" s="7"/>
      <c r="AH6" s="7"/>
      <c r="AI6" s="2"/>
      <c r="AJ6" s="7"/>
      <c r="AK6" s="7"/>
    </row>
    <row r="7">
      <c r="A7" s="1">
        <v>0.0</v>
      </c>
      <c r="B7" s="1">
        <v>33.0</v>
      </c>
      <c r="C7" s="1">
        <v>2.53</v>
      </c>
      <c r="D7" s="4">
        <f t="shared" si="1"/>
        <v>3.833333333</v>
      </c>
      <c r="E7" s="5">
        <f t="shared" si="2"/>
        <v>3.837209302</v>
      </c>
      <c r="F7" s="6">
        <f t="shared" si="5"/>
        <v>3.454545455</v>
      </c>
      <c r="G7" s="4">
        <f t="shared" si="3"/>
        <v>4.083333333</v>
      </c>
      <c r="H7" s="4">
        <f t="shared" si="4"/>
        <v>0.6287878788</v>
      </c>
      <c r="I7" s="7"/>
      <c r="J7" s="7"/>
      <c r="K7" s="2"/>
      <c r="L7" s="7"/>
      <c r="M7" s="7"/>
      <c r="N7" s="2"/>
      <c r="O7" s="7"/>
      <c r="P7" s="7"/>
      <c r="Q7" s="2"/>
      <c r="R7" s="7"/>
      <c r="S7" s="7"/>
      <c r="T7" s="2"/>
      <c r="U7" s="7"/>
      <c r="V7" s="7"/>
      <c r="W7" s="2"/>
      <c r="X7" s="7"/>
      <c r="Y7" s="7"/>
      <c r="Z7" s="2"/>
      <c r="AA7" s="7"/>
      <c r="AB7" s="7"/>
      <c r="AC7" s="2"/>
      <c r="AD7" s="7"/>
      <c r="AE7" s="7"/>
      <c r="AF7" s="2"/>
      <c r="AG7" s="7"/>
      <c r="AH7" s="7"/>
    </row>
    <row r="8">
      <c r="A8" s="2">
        <v>315.0</v>
      </c>
      <c r="B8" s="3">
        <v>64.9</v>
      </c>
      <c r="C8" s="3">
        <v>2.86</v>
      </c>
      <c r="D8" s="4">
        <f t="shared" si="1"/>
        <v>4.333333333</v>
      </c>
      <c r="E8" s="5">
        <f t="shared" si="2"/>
        <v>4.332443258</v>
      </c>
      <c r="F8" s="6">
        <f t="shared" si="5"/>
        <v>4.083333333</v>
      </c>
      <c r="G8" s="4">
        <f t="shared" si="3"/>
        <v>4.477272727</v>
      </c>
      <c r="H8" s="4">
        <f t="shared" si="4"/>
        <v>0.3939393939</v>
      </c>
      <c r="I8" s="7"/>
      <c r="J8" s="7"/>
      <c r="K8" s="2"/>
      <c r="L8" s="7"/>
      <c r="M8" s="7"/>
      <c r="N8" s="2"/>
      <c r="O8" s="7"/>
      <c r="P8" s="7"/>
      <c r="Q8" s="2"/>
      <c r="R8" s="7"/>
      <c r="S8" s="7"/>
      <c r="T8" s="2"/>
      <c r="U8" s="7"/>
      <c r="V8" s="7"/>
      <c r="W8" s="2"/>
      <c r="X8" s="7"/>
      <c r="Y8" s="7"/>
      <c r="Z8" s="2"/>
      <c r="AA8" s="7"/>
      <c r="AB8" s="7"/>
      <c r="AC8" s="2"/>
      <c r="AD8" s="7"/>
      <c r="AE8" s="7"/>
    </row>
    <row r="9">
      <c r="A9" s="2">
        <v>270.0</v>
      </c>
      <c r="B9" s="3">
        <v>120.0</v>
      </c>
      <c r="C9" s="3">
        <v>3.05</v>
      </c>
      <c r="D9" s="4">
        <f t="shared" si="1"/>
        <v>4.621212121</v>
      </c>
      <c r="E9" s="5">
        <f t="shared" si="2"/>
        <v>4.615384615</v>
      </c>
      <c r="F9" s="6">
        <f t="shared" si="5"/>
        <v>4.477272727</v>
      </c>
      <c r="G9" s="5">
        <v>5.0</v>
      </c>
      <c r="H9" s="4">
        <f t="shared" si="4"/>
        <v>0.5227272727</v>
      </c>
      <c r="I9" s="7"/>
      <c r="J9" s="7"/>
      <c r="K9" s="2"/>
      <c r="L9" s="7"/>
      <c r="M9" s="7"/>
      <c r="N9" s="2"/>
      <c r="O9" s="7"/>
      <c r="P9" s="7"/>
      <c r="Q9" s="2"/>
      <c r="R9" s="7"/>
      <c r="S9" s="7"/>
      <c r="T9" s="2"/>
      <c r="U9" s="7"/>
      <c r="V9" s="7"/>
      <c r="W9" s="2"/>
      <c r="X9" s="7"/>
      <c r="Y9" s="7"/>
      <c r="Z9" s="2"/>
      <c r="AA9" s="7"/>
      <c r="AB9" s="7"/>
    </row>
    <row r="10">
      <c r="A10" s="2"/>
      <c r="B10" s="7"/>
      <c r="C10" s="7"/>
      <c r="D10" s="2"/>
      <c r="E10" s="7"/>
      <c r="F10" s="7"/>
      <c r="G10" s="7"/>
      <c r="H10" s="2"/>
      <c r="I10" s="7"/>
      <c r="J10" s="7"/>
      <c r="K10" s="2"/>
      <c r="L10" s="7"/>
      <c r="M10" s="7"/>
      <c r="N10" s="2"/>
      <c r="O10" s="7"/>
      <c r="P10" s="7"/>
      <c r="Q10" s="2"/>
      <c r="R10" s="7"/>
      <c r="S10" s="7"/>
      <c r="T10" s="2"/>
      <c r="U10" s="7"/>
      <c r="V10" s="7"/>
      <c r="W10" s="2"/>
      <c r="X10" s="7"/>
      <c r="Y10" s="7"/>
    </row>
    <row r="11">
      <c r="A11" s="2"/>
      <c r="B11" s="7"/>
      <c r="C11" s="7"/>
      <c r="D11" s="2"/>
      <c r="E11" s="7"/>
      <c r="F11" s="7"/>
      <c r="G11" s="7"/>
      <c r="H11" s="2"/>
      <c r="I11" s="7"/>
      <c r="J11" s="7"/>
      <c r="K11" s="2"/>
      <c r="L11" s="7"/>
      <c r="M11" s="7"/>
      <c r="N11" s="2"/>
      <c r="O11" s="7"/>
      <c r="P11" s="7"/>
      <c r="Q11" s="2"/>
      <c r="R11" s="7"/>
      <c r="S11" s="7"/>
      <c r="T11" s="2"/>
      <c r="U11" s="7"/>
      <c r="V11" s="7"/>
    </row>
    <row r="12">
      <c r="A12" s="2"/>
      <c r="B12" s="7"/>
      <c r="C12" s="7"/>
      <c r="D12" s="2"/>
      <c r="E12" s="7"/>
      <c r="F12" s="7"/>
      <c r="G12" s="7"/>
      <c r="H12" s="2"/>
      <c r="I12" s="7"/>
      <c r="J12" s="7"/>
      <c r="K12" s="2"/>
      <c r="L12" s="7"/>
      <c r="M12" s="7"/>
      <c r="N12" s="2"/>
      <c r="O12" s="7"/>
      <c r="P12" s="7"/>
      <c r="Q12" s="2"/>
      <c r="R12" s="7"/>
      <c r="S12" s="7"/>
    </row>
    <row r="13">
      <c r="A13" s="2"/>
      <c r="B13" s="7"/>
      <c r="C13" s="7"/>
      <c r="D13" s="2"/>
      <c r="E13" s="7"/>
      <c r="F13" s="7"/>
      <c r="G13" s="7"/>
      <c r="H13" s="2"/>
      <c r="I13" s="7"/>
      <c r="J13" s="7"/>
      <c r="K13" s="2"/>
      <c r="L13" s="7"/>
      <c r="M13" s="7"/>
      <c r="N13" s="2"/>
      <c r="O13" s="7"/>
      <c r="P13" s="7"/>
    </row>
    <row r="14">
      <c r="A14" s="2"/>
      <c r="B14" s="7"/>
      <c r="C14" s="7"/>
      <c r="D14" s="2"/>
      <c r="E14" s="7"/>
      <c r="F14" s="7"/>
      <c r="G14" s="7"/>
      <c r="H14" s="2"/>
      <c r="I14" s="7"/>
      <c r="J14" s="7"/>
      <c r="K14" s="2"/>
      <c r="L14" s="7"/>
      <c r="M14" s="7"/>
    </row>
    <row r="15">
      <c r="A15" s="2"/>
      <c r="B15" s="7"/>
      <c r="C15" s="7"/>
      <c r="D15" s="2"/>
      <c r="E15" s="7"/>
      <c r="F15" s="7"/>
      <c r="G15" s="7"/>
      <c r="H15" s="2"/>
      <c r="I15" s="7"/>
      <c r="J15" s="7"/>
    </row>
    <row r="16">
      <c r="A16" s="2"/>
      <c r="B16" s="7"/>
      <c r="C16" s="7"/>
      <c r="D16" s="2"/>
      <c r="E16" s="7"/>
      <c r="F16" s="7"/>
      <c r="G16" s="7"/>
    </row>
    <row r="17">
      <c r="A17" s="2"/>
      <c r="B17" s="7"/>
      <c r="C17" s="7"/>
    </row>
  </sheetData>
  <drawing r:id="rId1"/>
</worksheet>
</file>